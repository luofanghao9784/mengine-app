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b881d2b71348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本测算" sheetId="1" r:id="R8952959292dd4b7d"/>
    <x:sheet xmlns:r="http://schemas.openxmlformats.org/officeDocument/2006/relationships" name="参数与单价" sheetId="2" r:id="R0dcb1da2c48e44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;(#,##0.00);&quot;–&quot;"/>
    <x:numFmt numFmtId="201" formatCode="#,##0;(#,##0);&quot;–&quot;"/>
    <x:numFmt numFmtId="202" formatCode="0.0%;(0.0%);&quot;–&quot;"/>
    <x:numFmt numFmtId="203" formatCode="0.000;(0.000);&quot;–&quot;"/>
  </x:numFmts>
  <x:fonts count="15">
    <x:font>
      <x:sz val="11"/>
      <x:name val="Carlito"/>
    </x:font>
    <x:font>
      <x:sz val="11"/>
      <x:color rgb="FF185ABD"/>
      <x:name val="Carlito"/>
    </x:font>
    <x:font>
      <x:sz val="11"/>
      <x:color rgb="FF187043"/>
      <x:name val="Carlito"/>
    </x:font>
    <x:font>
      <x:sz val="11"/>
      <x:color rgb="FF000000"/>
      <x:name val="Carlito"/>
    </x:font>
    <x:font>
      <x:sz val="11"/>
      <x:color rgb="FF172D43"/>
      <x:name val="Arial"/>
    </x:font>
    <x:font>
      <x:b/>
      <x:sz val="15"/>
      <x:color rgb="FF172D43"/>
      <x:name val="Arial"/>
    </x:font>
    <x:font>
      <x:sz val="10"/>
      <x:color rgb="FF5A6673"/>
      <x:name val="Arial"/>
    </x:font>
    <x:font>
      <x:b/>
      <x:sz val="11"/>
      <x:color rgb="FFFFFFFF"/>
      <x:name val="Arial"/>
    </x:font>
    <x:font>
      <x:b/>
      <x:sz val="10"/>
      <x:color rgb="FFFFFFFF"/>
      <x:name val="Arial"/>
    </x:font>
    <x:font>
      <x:b/>
      <x:sz val="11"/>
      <x:color rgb="FF000000"/>
      <x:name val="Arial"/>
    </x:font>
    <x:font>
      <x:b/>
      <x:sz val="11"/>
      <x:color rgb="FF176B68"/>
      <x:name val="Arial"/>
    </x:font>
    <x:font>
      <x:b/>
      <x:sz val="10"/>
      <x:color rgb="FF176B68"/>
      <x:name val="Arial"/>
    </x:font>
    <x:font>
      <x:sz val="11"/>
      <x:color rgb="FF185ABD"/>
      <x:name val="Arial"/>
    </x:font>
    <x:font>
      <x:sz val="11"/>
      <x:color rgb="FF187043"/>
      <x:name val="Arial"/>
    </x:font>
    <x:font>
      <x:sz val="11"/>
      <x:color rgb="FF000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3D8"/>
      </x:patternFill>
    </x:fill>
    <x:fill>
      <x:patternFill patternType="solid">
        <x:fgColor rgb="FF172D43"/>
      </x:patternFill>
    </x:fill>
    <x:fill>
      <x:patternFill patternType="solid">
        <x:fgColor rgb="FFEAF3F2"/>
      </x:patternFill>
    </x:fill>
  </x:fills>
  <x:borders count="2">
    <x:border/>
    <x:border>
      <x:bottom style="thin">
        <x:color rgb="FFD7DFE7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right"/>
    </x:xf>
    <x:xf numFmtId="200" fontId="1" fillId="2" borderId="0" xfId="0" applyNumberFormat="1" applyFont="1" applyFill="1" applyBorder="1" applyAlignment="1">
      <x:alignment horizontal="right"/>
    </x:xf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horizontal="right"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200" fontId="4" fillId="2" borderId="0" xfId="0" applyNumberFormat="1" applyFont="1" applyFill="1" applyBorder="1" applyAlignment="1">
      <x:alignment horizontal="right"/>
    </x:xf>
    <x:xf numFmtId="200" fontId="4" fillId="2" borderId="0" xfId="0" applyNumberFormat="1" applyFont="1" applyFill="1" applyBorder="1" applyAlignment="1">
      <x:alignment horizontal="right" wrapText="1"/>
    </x:xf>
    <x:xf numFmtId="200" fontId="4" fillId="2" borderId="0" xfId="0" applyNumberFormat="1" applyFont="1" applyFill="1" applyBorder="1" applyAlignment="1">
      <x:alignment horizontal="right" vertical="center" wrapText="1"/>
    </x:xf>
    <x:xf numFmtId="200" fontId="4" fillId="0" borderId="0" xfId="0" applyNumberFormat="1" applyFont="1" applyFill="1" applyBorder="1" applyAlignment="1">
      <x:alignment horizontal="right" vertical="center" wrapText="1"/>
    </x:xf>
    <x:xf numFmtId="201" fontId="4" fillId="0" borderId="0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horizontal="right" vertical="center" wrapText="1"/>
    </x:xf>
    <x:xf numFmtId="202" fontId="4" fillId="0" borderId="0" xfId="0" applyNumberFormat="1" applyFont="1" applyFill="1" applyBorder="1" applyAlignment="1">
      <x:alignment horizontal="right"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right"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horizontal="right" vertical="center" wrapText="1"/>
    </x:xf>
    <x:xf numFmtId="0" fontId="8" fillId="3" borderId="0" xfId="0" applyNumberFormat="1" applyFont="1" applyFill="1" applyBorder="1" applyAlignment="1">
      <x:alignment vertical="center" wrapText="1"/>
    </x:xf>
    <x:xf numFmtId="200" fontId="4" fillId="3" borderId="0" xfId="0" applyNumberFormat="1" applyFont="1" applyFill="1" applyBorder="1" applyAlignment="1">
      <x:alignment horizontal="right" vertical="center" wrapText="1"/>
    </x:xf>
    <x:xf numFmtId="200" fontId="7" fillId="3" borderId="0" xfId="0" applyNumberFormat="1" applyFont="1" applyFill="1" applyBorder="1" applyAlignment="1">
      <x:alignment horizontal="right"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200" fontId="4" fillId="4" borderId="0" xfId="0" applyNumberFormat="1" applyFont="1" applyFill="1" applyBorder="1" applyAlignment="1">
      <x:alignment horizontal="right"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200" fontId="4" fillId="4" borderId="1" xfId="0" applyNumberFormat="1" applyFont="1" applyFill="1" applyBorder="1" applyAlignment="1">
      <x:alignment horizontal="right"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200" fontId="9" fillId="4" borderId="1" xfId="0" applyNumberFormat="1" applyFont="1" applyFill="1" applyBorder="1" applyAlignment="1">
      <x:alignment horizontal="right" vertical="center" wrapText="1"/>
    </x:xf>
    <x:xf numFmtId="201" fontId="4" fillId="4" borderId="0" xfId="0" applyNumberFormat="1" applyFont="1" applyFill="1" applyBorder="1" applyAlignment="1">
      <x:alignment horizontal="right" vertical="center" wrapText="1"/>
    </x:xf>
    <x:xf numFmtId="201" fontId="4" fillId="4" borderId="1" xfId="0" applyNumberFormat="1" applyFont="1" applyFill="1" applyBorder="1" applyAlignment="1">
      <x:alignment horizontal="right" vertical="center" wrapText="1"/>
    </x:xf>
    <x:xf numFmtId="0" fontId="4" fillId="0" borderId="0" xfId="0" applyNumberFormat="1" applyFont="1" applyFill="1" applyBorder="1" applyAlignment="1">
      <x:alignment horizontal="left" vertical="center" wrapText="1"/>
    </x:xf>
    <x:xf numFmtId="0" fontId="4" fillId="4" borderId="0" xfId="0" applyNumberFormat="1" applyFont="1" applyFill="1" applyBorder="1" applyAlignment="1">
      <x:alignment horizontal="right" vertical="center" wrapText="1"/>
    </x:xf>
    <x:xf numFmtId="0" fontId="4" fillId="4" borderId="0" xfId="0" applyNumberFormat="1" applyFont="1" applyFill="1" applyBorder="1" applyAlignment="1">
      <x:alignment horizontal="left" vertical="center" wrapText="1"/>
    </x:xf>
    <x:xf numFmtId="0" fontId="10" fillId="4" borderId="0" xfId="0" applyNumberFormat="1" applyFont="1" applyFill="1" applyBorder="1" applyAlignment="1">
      <x:alignment vertical="center" wrapText="1"/>
    </x:xf>
    <x:xf numFmtId="0" fontId="10" fillId="4" borderId="0" xfId="0" applyNumberFormat="1" applyFont="1" applyFill="1" applyBorder="1" applyAlignment="1">
      <x:alignment horizontal="right" vertical="center" wrapText="1"/>
    </x:xf>
    <x:xf numFmtId="0" fontId="10" fillId="4" borderId="0" xfId="0" applyNumberFormat="1" applyFont="1" applyFill="1" applyBorder="1" applyAlignment="1">
      <x:alignment horizontal="left" vertical="center" wrapText="1"/>
    </x:xf>
    <x:xf numFmtId="0" fontId="11" fillId="4" borderId="0" xfId="0" applyNumberFormat="1" applyFont="1" applyFill="1" applyBorder="1" applyAlignment="1">
      <x:alignment vertical="center" wrapText="1"/>
    </x:xf>
    <x:xf numFmtId="200" fontId="12" fillId="2" borderId="0" xfId="0" applyNumberFormat="1" applyFont="1" applyFill="1" applyBorder="1" applyAlignment="1">
      <x:alignment horizontal="right" vertical="center" wrapText="1"/>
    </x:xf>
    <x:xf numFmtId="202" fontId="12" fillId="2" borderId="0" xfId="0" applyNumberFormat="1" applyFont="1" applyFill="1" applyBorder="1" applyAlignment="1">
      <x:alignment horizontal="right" vertical="center" wrapText="1"/>
    </x:xf>
    <x:xf numFmtId="203" fontId="12" fillId="2" borderId="0" xfId="0" applyNumberFormat="1" applyFont="1" applyFill="1" applyBorder="1" applyAlignment="1">
      <x:alignment horizontal="right" vertical="center" wrapText="1"/>
    </x:xf>
    <x:xf numFmtId="200" fontId="13" fillId="0" borderId="0" xfId="0" applyNumberFormat="1" applyFont="1" applyFill="1" applyBorder="1" applyAlignment="1">
      <x:alignment horizontal="right" vertical="center" wrapText="1"/>
    </x:xf>
    <x:xf numFmtId="200" fontId="14" fillId="0" borderId="0" xfId="0" applyNumberFormat="1" applyFont="1" applyFill="1" applyBorder="1" applyAlignment="1">
      <x:alignment horizontal="right" vertical="center" wrapText="1"/>
    </x:xf>
    <x:xf numFmtId="200" fontId="14" fillId="4" borderId="1" xfId="0" applyNumberFormat="1" applyFont="1" applyFill="1" applyBorder="1" applyAlignment="1">
      <x:alignment horizontal="right" vertical="center" wrapText="1"/>
    </x:xf>
    <x:xf numFmtId="202" fontId="13" fillId="0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  <x:dxfs count="1">
    <x:dxf>
      <x:font>
        <x:color rgb="FFA42121"/>
      </x:font>
      <x:fill>
        <x:patternFill patternType="solid">
          <x:bgColor rgb="FFFCE3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d6d788fa7745b9" /><Relationship Type="http://schemas.openxmlformats.org/officeDocument/2006/relationships/theme" Target="/xl/theme/theme1.xml" Id="Re46a86c1eb524c6b" /><Relationship Type="http://schemas.openxmlformats.org/officeDocument/2006/relationships/sharedStrings" Target="/xl/sharedStrings.xml" Id="Rb0faef307f754d02" /><Relationship Type="http://schemas.openxmlformats.org/officeDocument/2006/relationships/worksheet" Target="/xl/worksheets/sheet1.xml" Id="R8952959292dd4b7d" /><Relationship Type="http://schemas.openxmlformats.org/officeDocument/2006/relationships/worksheet" Target="/xl/worksheets/sheet2.xml" Id="R0dcb1da2c48e44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6B6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9.440000534057617" hidden="0" customWidth="1"/>
    <x:col min="2" max="2" width="17.219999313354492" hidden="0" customWidth="1"/>
    <x:col min="3" max="3" width="17.219999313354492" hidden="0" customWidth="1"/>
    <x:col min="4" max="4" width="17.219999313354492" hidden="0" customWidth="1"/>
    <x:col min="5" max="5" width="13.890000343322754" hidden="0" customWidth="1"/>
    <x:col min="6" max="6" width="61.11000061035156" hidden="0" customWidth="1"/>
  </x:cols>
  <x:sheetData>
    <x:row r="1" ht="36" customHeight="1">
      <x:c r="A1" s="11" t="str">
        <x:v>企业AI服务成本测算</x:v>
      </x:c>
      <x:c r="B1" s="11"/>
      <x:c r="C1" s="11"/>
      <x:c r="D1" s="11"/>
      <x:c r="E1" s="11"/>
      <x:c r="F1" s="11" t="str">
        <x:v>2026-09-14 · 人民币</x:v>
      </x:c>
    </x:row>
    <x:row r="2" ht="48" customHeight="1">
      <x:c r="A2" s="9" t="str">
        <x:v>先看口径</x:v>
      </x:c>
      <x:c r="B2" s="9"/>
      <x:c r="C2" s="9"/>
      <x:c r="D2" s="9"/>
      <x:c r="E2" s="9"/>
      <x:c r="F2" s="12" t="str">
        <x:v>这是单价×假设用量的预算，尚无客户账单或工时实测，不能称为已发生成本。</x:v>
      </x:c>
    </x:row>
    <x:row r="3" ht="48" customHeight="1">
      <x:c r="A3" s="9" t="str">
        <x:v>单家使用人数（人）</x:v>
      </x:c>
      <x:c r="B3" s="17" t="n">
        <x:f>'参数与单价'!$B$6</x:f>
        <x:v>20</x:v>
      </x:c>
      <x:c r="C3" s="9"/>
      <x:c r="D3" s="9"/>
      <x:c r="E3" s="9"/>
      <x:c r="F3" s="12" t="str">
        <x:v>假设通用产品已开发完成；1—2部门。到「参数与单价」修改蓝字，金额自动更新。</x:v>
      </x:c>
    </x:row>
    <x:row r="4" ht="34" customHeight="1">
      <x:c r="A4" s="9" t="str">
        <x:v>共享客户数</x:v>
      </x:c>
      <x:c r="B4" s="17" t="n">
        <x:f>'参数与单价'!$B$7</x:f>
        <x:v>1</x:v>
      </x:c>
      <x:c r="C4" s="9"/>
      <x:c r="D4" s="9"/>
      <x:c r="E4" s="9"/>
      <x:c r="F4" s="12" t="str">
        <x:v>第一家承担全部共享成本；增加客户时任务容量预算也随之增加。</x:v>
      </x:c>
    </x:row>
    <x:row r="5" ht="34" customHeight="1">
      <x:c r="A5" s="23" t="str">
        <x:v>成本结果</x:v>
      </x:c>
      <x:c r="B5" s="24" t="str">
        <x:v>计算周期</x:v>
      </x:c>
      <x:c r="C5" s="24" t="str">
        <x:v>直接经济成本</x:v>
      </x:c>
      <x:c r="D5" s="24" t="str">
        <x:v>分摊后预算成本</x:v>
      </x:c>
      <x:c r="E5" s="23" t="str">
        <x:v>单位</x:v>
      </x:c>
      <x:c r="F5" s="25" t="str">
        <x:v>计算说明</x:v>
      </x:c>
    </x:row>
    <x:row r="6" ht="34" customHeight="1">
      <x:c r="A6" s="31" t="str">
        <x:v>一次实施</x:v>
      </x:c>
      <x:c r="B6" s="32"/>
      <x:c r="C6" s="34" t="n">
        <x:f>C25</x:f>
        <x:v>7500</x:v>
      </x:c>
      <x:c r="D6" s="34" t="n">
        <x:f>D25</x:f>
        <x:v>12500</x:v>
      </x:c>
      <x:c r="E6" s="31" t="str">
        <x:v>元/家</x:v>
      </x:c>
      <x:c r="F6" s="33" t="str">
        <x:v>按约定范围80小时的基准；不含下方单列准备金与未定项。</x:v>
      </x:c>
    </x:row>
    <x:row r="7" ht="34" customHeight="1">
      <x:c r="A7" s="31" t="str">
        <x:v>持续运行与固定服务</x:v>
      </x:c>
      <x:c r="B7" s="32"/>
      <x:c r="C7" s="34" t="n">
        <x:f>C54</x:f>
        <x:v>2478.45</x:v>
      </x:c>
      <x:c r="D7" s="34" t="n">
        <x:f>D54</x:f>
        <x:v>3124.2833333333333</x:v>
      </x:c>
      <x:c r="E7" s="31" t="str">
        <x:v>元/家/月</x:v>
      </x:c>
      <x:c r="F7" s="33" t="str">
        <x:v>含共享设施分摊、API、文件、陪跑和运维人工。</x:v>
      </x:c>
    </x:row>
    <x:row r="8" ht="34" customHeight="1">
      <x:c r="A8" s="31" t="str">
        <x:v>实施＋上线后各月合计</x:v>
      </x:c>
      <x:c r="B8" s="36" t="n">
        <x:f>'参数与单价'!$B$49</x:f>
        <x:v>12</x:v>
      </x:c>
      <x:c r="C8" s="34" t="n">
        <x:f>C6+B8*C7</x:f>
        <x:v>37241.399999999994</x:v>
      </x:c>
      <x:c r="D8" s="34" t="n">
        <x:f>D6+B8*D7</x:f>
        <x:v>49991.4</x:v>
      </x:c>
      <x:c r="E8" s="31" t="str">
        <x:v>元/家</x:v>
      </x:c>
      <x:c r="F8" s="33" t="str">
        <x:v>当前按12个月；未定费用见底部，不能视为公司全部成本。</x:v>
      </x:c>
    </x:row>
    <x:row r="9" ht="34" customHeight="1">
      <x:c r="A9" s="31" t="str">
        <x:v>仅持续服务各月合计</x:v>
      </x:c>
      <x:c r="B9" s="36" t="n">
        <x:f>B8</x:f>
        <x:v>12</x:v>
      </x:c>
      <x:c r="C9" s="34" t="n">
        <x:f>B9*C7</x:f>
        <x:v>29741.399999999998</x:v>
      </x:c>
      <x:c r="D9" s="34" t="n">
        <x:f>B9*D7</x:f>
        <x:v>37491.4</x:v>
      </x:c>
      <x:c r="E9" s="31" t="str">
        <x:v>元/家</x:v>
      </x:c>
      <x:c r="F9" s="33" t="str">
        <x:v>在同样人数、用量和服务频次下，后续不重复实施。</x:v>
      </x:c>
    </x:row>
    <x:row r="10" ht="34" customHeight="1">
      <x:c r="A10" s="9" t="str">
        <x:v>其中：云/API外部支出</x:v>
      </x:c>
      <x:c r="B10" s="16"/>
      <x:c r="C10" s="16" t="n">
        <x:f>C47</x:f>
        <x:v>1509.7</x:v>
      </x:c>
      <x:c r="D10" s="16" t="n">
        <x:f>C10</x:f>
        <x:v>1509.7</x:v>
      </x:c>
      <x:c r="E10" s="9" t="str">
        <x:v>元/家/月</x:v>
      </x:c>
      <x:c r="F10" s="12" t="str">
        <x:v>不含本人工时；不是公司完整现金支出。</x:v>
      </x:c>
    </x:row>
    <x:row r="11" ht="42" customHeight="1">
      <x:c r="A11" s="9" t="str">
        <x:v>避免重复计算</x:v>
      </x:c>
      <x:c r="B11" s="16"/>
      <x:c r="C11" s="16"/>
      <x:c r="D11" s="16"/>
      <x:c r="E11" s="9"/>
      <x:c r="F11" s="12" t="str">
        <x:v>两列是两种成本口径，不能相加。分摊后的人工已回收部分非交付时间。</x:v>
      </x:c>
    </x:row>
    <x:row r="12" ht="34" customHeight="1">
      <x:c r="A12" s="9"/>
      <x:c r="B12" s="16"/>
      <x:c r="C12" s="16"/>
      <x:c r="D12" s="16"/>
      <x:c r="E12" s="9"/>
      <x:c r="F12" s="12"/>
    </x:row>
    <x:row r="13" ht="34" customHeight="1">
      <x:c r="A13" s="23" t="str">
        <x:v>人力费率</x:v>
      </x:c>
      <x:c r="B13" s="27" t="str">
        <x:v>小时/月</x:v>
      </x:c>
      <x:c r="C13" s="27" t="str">
        <x:v>直接经济成本</x:v>
      </x:c>
      <x:c r="D13" s="27" t="str">
        <x:v>分摊后预算成本</x:v>
      </x:c>
      <x:c r="E13" s="23" t="str">
        <x:v>元/小时</x:v>
      </x:c>
      <x:c r="F13" s="25" t="str">
        <x:v>计算说明</x:v>
      </x:c>
    </x:row>
    <x:row r="14" ht="34" customHeight="1">
      <x:c r="A14" s="9" t="str">
        <x:v>每月标准劳动时间</x:v>
      </x:c>
      <x:c r="B14" s="47" t="n">
        <x:f>'参数与单价'!$B$9*'参数与单价'!$B$10</x:f>
        <x:v>160</x:v>
      </x:c>
      <x:c r="C14" s="16"/>
      <x:c r="D14" s="16"/>
      <x:c r="E14" s="9" t="str">
        <x:v>小时/月</x:v>
      </x:c>
      <x:c r="F14" s="12" t="str">
        <x:v>月劳动天数×每日工时。</x:v>
      </x:c>
    </x:row>
    <x:row r="15" ht="34" customHeight="1">
      <x:c r="A15" s="9" t="str">
        <x:v>每月有效客户服务时间</x:v>
      </x:c>
      <x:c r="B15" s="47" t="n">
        <x:f>B14*'参数与单价'!$B$11</x:f>
        <x:v>96</x:v>
      </x:c>
      <x:c r="C15" s="16"/>
      <x:c r="D15" s="16"/>
      <x:c r="E15" s="9" t="str">
        <x:v>小时/月</x:v>
      </x:c>
      <x:c r="F15" s="12" t="str">
        <x:v>标准劳动时间×有效比例；包括实施、陪跑、系统运维。</x:v>
      </x:c>
    </x:row>
    <x:row r="16" ht="34" customHeight="1">
      <x:c r="A16" s="9" t="str">
        <x:v>本人工时成本</x:v>
      </x:c>
      <x:c r="B16" s="16"/>
      <x:c r="C16" s="47" t="n">
        <x:f>'参数与单价'!$B$8/B14</x:f>
        <x:v>93.75</x:v>
      </x:c>
      <x:c r="D16" s="47" t="n">
        <x:f>'参数与单价'!$B$8/B15</x:f>
        <x:v>156.25</x:v>
      </x:c>
      <x:c r="E16" s="9" t="str">
        <x:v>元/小时</x:v>
      </x:c>
      <x:c r="F16" s="12" t="str">
        <x:v>直接＝月综合成本÷标准工时；分摊＝月综合成本÷有效服务工时。</x:v>
      </x:c>
    </x:row>
    <x:row r="17" ht="45" customHeight="1">
      <x:c r="A17" s="9" t="str">
        <x:v>分摊口径前提</x:v>
      </x:c>
      <x:c r="B17" s="16"/>
      <x:c r="C17" s="16"/>
      <x:c r="D17" s="16"/>
      <x:c r="E17" s="9"/>
      <x:c r="F17" s="12" t="str">
        <x:v>只有实际有效服务时间达到预算，分摊费率才足以回收该人工；客户少时须核算整体现金与劳动投入。</x:v>
      </x:c>
    </x:row>
    <x:row r="18" ht="34" customHeight="1">
      <x:c r="A18" s="9"/>
      <x:c r="B18" s="16"/>
      <x:c r="C18" s="16"/>
      <x:c r="D18" s="16"/>
      <x:c r="E18" s="9"/>
      <x:c r="F18" s="12"/>
    </x:row>
    <x:row r="19" ht="34" customHeight="1">
      <x:c r="A19" s="23" t="str">
        <x:v>一次实施明细</x:v>
      </x:c>
      <x:c r="B19" s="27" t="str">
        <x:v>工时（小时）</x:v>
      </x:c>
      <x:c r="C19" s="27" t="str">
        <x:v>直接经济成本</x:v>
      </x:c>
      <x:c r="D19" s="27" t="str">
        <x:v>分摊后预算成本</x:v>
      </x:c>
      <x:c r="E19" s="23" t="str">
        <x:v>元/家</x:v>
      </x:c>
      <x:c r="F19" s="25" t="str">
        <x:v>计算说明</x:v>
      </x:c>
    </x:row>
    <x:row r="20" ht="34" customHeight="1">
      <x:c r="A20" s="9" t="str">
        <x:v>需求访谈与资料盘点</x:v>
      </x:c>
      <x:c r="B20" s="47" t="n">
        <x:f>'参数与单价'!$B$13</x:f>
        <x:v>16</x:v>
      </x:c>
      <x:c r="C20" s="48" t="n">
        <x:f>B20*$C$16</x:f>
        <x:v>1500</x:v>
      </x:c>
      <x:c r="D20" s="48" t="n">
        <x:f>B20*$D$16</x:f>
        <x:v>2500</x:v>
      </x:c>
      <x:c r="E20" s="9" t="str">
        <x:v>元/家</x:v>
      </x:c>
      <x:c r="F20" s="12" t="str">
        <x:v>明确边界与验收；交付范围不包含无限需求访谈。</x:v>
      </x:c>
    </x:row>
    <x:row r="21" ht="34" customHeight="1">
      <x:c r="A21" s="9" t="str">
        <x:v>资料结构与权限设计</x:v>
      </x:c>
      <x:c r="B21" s="47" t="n">
        <x:f>'参数与单价'!$B$14</x:f>
        <x:v>16</x:v>
      </x:c>
      <x:c r="C21" s="48" t="n">
        <x:f>B21*$C$16</x:f>
        <x:v>1500</x:v>
      </x:c>
      <x:c r="D21" s="48" t="n">
        <x:f>B21*$D$16</x:f>
        <x:v>2500</x:v>
      </x:c>
      <x:c r="E21" s="9" t="str">
        <x:v>元/家</x:v>
      </x:c>
      <x:c r="F21" s="12" t="str">
        <x:v>目录、角色、权限、资料负责人和维护规则。</x:v>
      </x:c>
    </x:row>
    <x:row r="22" ht="34" customHeight="1">
      <x:c r="A22" s="9" t="str">
        <x:v>首批整理、导入与索引</x:v>
      </x:c>
      <x:c r="B22" s="47" t="n">
        <x:f>'参数与单价'!$B$15</x:f>
        <x:v>24</x:v>
      </x:c>
      <x:c r="C22" s="48" t="n">
        <x:f>B22*$C$16</x:f>
        <x:v>2250</x:v>
      </x:c>
      <x:c r="D22" s="48" t="n">
        <x:f>B22*$D$16</x:f>
        <x:v>3750</x:v>
      </x:c>
      <x:c r="E22" s="9" t="str">
        <x:v>元/家</x:v>
      </x:c>
      <x:c r="F22" s="12" t="str">
        <x:v>仅约定首批资料；按批次或样本确认后才能承诺24小时。</x:v>
      </x:c>
    </x:row>
    <x:row r="23" ht="34" customHeight="1">
      <x:c r="A23" s="9" t="str">
        <x:v>企业环境与账号配置</x:v>
      </x:c>
      <x:c r="B23" s="47" t="n">
        <x:f>'参数与单价'!$B$16</x:f>
        <x:v>8</x:v>
      </x:c>
      <x:c r="C23" s="48" t="n">
        <x:f>B23*$C$16</x:f>
        <x:v>750</x:v>
      </x:c>
      <x:c r="D23" s="48" t="n">
        <x:f>B23*$D$16</x:f>
        <x:v>1250</x:v>
      </x:c>
      <x:c r="E23" s="9" t="str">
        <x:v>元/家</x:v>
      </x:c>
      <x:c r="F23" s="12" t="str">
        <x:v>已有产品的配置，产品通用研发不能伪装成每客户部署。</x:v>
      </x:c>
    </x:row>
    <x:row r="24" ht="34" customHeight="1">
      <x:c r="A24" s="9" t="str">
        <x:v>典型工作验证、首训与交接</x:v>
      </x:c>
      <x:c r="B24" s="47" t="n">
        <x:f>'参数与单价'!$B$17</x:f>
        <x:v>16</x:v>
      </x:c>
      <x:c r="C24" s="48" t="n">
        <x:f>B24*$C$16</x:f>
        <x:v>1500</x:v>
      </x:c>
      <x:c r="D24" s="48" t="n">
        <x:f>B24*$D$16</x:f>
        <x:v>2500</x:v>
      </x:c>
      <x:c r="E24" s="9" t="str">
        <x:v>元/家</x:v>
      </x:c>
      <x:c r="F24" s="12" t="str">
        <x:v>含备课、授课、测试和交接。</x:v>
      </x:c>
    </x:row>
    <x:row r="25" ht="34" customHeight="1">
      <x:c r="A25" s="31" t="str">
        <x:v>实施成本小计</x:v>
      </x:c>
      <x:c r="B25" s="49" t="n">
        <x:f>SUM(B20:B24)</x:f>
        <x:v>80</x:v>
      </x:c>
      <x:c r="C25" s="34" t="n">
        <x:f>SUM(C20:C24)</x:f>
        <x:v>7500</x:v>
      </x:c>
      <x:c r="D25" s="34" t="n">
        <x:f>SUM(D20:D24)</x:f>
        <x:v>12500</x:v>
      </x:c>
      <x:c r="E25" s="31" t="str">
        <x:v>元/家</x:v>
      </x:c>
      <x:c r="F25" s="33" t="str">
        <x:v>只加实际范围中的预算工时，不含差旅、外包与通用产品开发。</x:v>
      </x:c>
    </x:row>
    <x:row r="26" ht="34" customHeight="1">
      <x:c r="A26" s="9" t="str">
        <x:v>单列实施准备金</x:v>
      </x:c>
      <x:c r="B26" s="50" t="n">
        <x:f>'参数与单价'!$B$18</x:f>
        <x:v>0.15</x:v>
      </x:c>
      <x:c r="C26" s="48" t="n">
        <x:f>C25*B26</x:f>
        <x:v>1125</x:v>
      </x:c>
      <x:c r="D26" s="48" t="n">
        <x:f>D25*B26</x:f>
        <x:v>1875</x:v>
      </x:c>
      <x:c r="E26" s="9" t="str">
        <x:v>元/家</x:v>
      </x:c>
      <x:c r="F26" s="12" t="str">
        <x:v>预算缓冲，不是实际成本；主结果不包含此行。</x:v>
      </x:c>
    </x:row>
    <x:row r="27" ht="34" customHeight="1">
      <x:c r="A27" s="31" t="str">
        <x:v>含准备金的实施预算</x:v>
      </x:c>
      <x:c r="B27" s="32"/>
      <x:c r="C27" s="34" t="n">
        <x:f>SUM(C25:C26)</x:f>
        <x:v>8625</x:v>
      </x:c>
      <x:c r="D27" s="34" t="n">
        <x:f>SUM(D25:D26)</x:f>
        <x:v>14375</x:v>
      </x:c>
      <x:c r="E27" s="31" t="str">
        <x:v>元/家</x:v>
      </x:c>
      <x:c r="F27" s="33" t="str">
        <x:v>用于准备资金/定价判断，与主成本结果区别展示。</x:v>
      </x:c>
    </x:row>
    <x:row r="28" ht="48" customHeight="1">
      <x:c r="A28" s="9" t="str">
        <x:v>资料复杂度如何加成本</x:v>
      </x:c>
      <x:c r="B28" s="16"/>
      <x:c r="C28" s="16"/>
      <x:c r="D28" s="16"/>
      <x:c r="E28" s="9"/>
      <x:c r="F28" s="12" t="str">
        <x:v>额外资料整理、权限验证与返工增加多少小时，就乘对应费率；GB和部门数都不能直接代表工时。</x:v>
      </x:c>
    </x:row>
    <x:row r="29" ht="34" customHeight="1">
      <x:c r="A29" s="9"/>
      <x:c r="B29" s="16"/>
      <x:c r="C29" s="16"/>
      <x:c r="D29" s="16"/>
      <x:c r="E29" s="9"/>
      <x:c r="F29" s="12"/>
    </x:row>
    <x:row r="30" ht="34" customHeight="1">
      <x:c r="A30" s="23" t="str">
        <x:v>云设施与文件</x:v>
      </x:c>
      <x:c r="B30" s="27" t="str">
        <x:v>计费数量</x:v>
      </x:c>
      <x:c r="C30" s="27" t="str">
        <x:v>直接经济成本</x:v>
      </x:c>
      <x:c r="D30" s="27" t="str">
        <x:v>分摊后预算成本</x:v>
      </x:c>
      <x:c r="E30" s="23" t="str">
        <x:v>元/家/月</x:v>
      </x:c>
      <x:c r="F30" s="25" t="str">
        <x:v>计算说明</x:v>
      </x:c>
    </x:row>
    <x:row r="31" ht="34" customHeight="1">
      <x:c r="A31" s="9" t="str">
        <x:v>共享应用服务器</x:v>
      </x:c>
      <x:c r="B31" s="47" t="n">
        <x:f>'参数与单价'!$B$31</x:f>
        <x:v>1</x:v>
      </x:c>
      <x:c r="C31" s="47" t="n">
        <x:f>B31*'参数与单价'!$B$30/'参数与单价'!$B$7</x:f>
        <x:v>230</x:v>
      </x:c>
      <x:c r="D31" s="48" t="n">
        <x:f>C31</x:f>
        <x:v>230</x:v>
      </x:c>
      <x:c r="E31" s="9" t="str">
        <x:v>元/家/月</x:v>
      </x:c>
      <x:c r="F31" s="12" t="str">
        <x:v>平台节点总数×单价÷客户数。</x:v>
      </x:c>
    </x:row>
    <x:row r="32" ht="34" customHeight="1">
      <x:c r="A32" s="9" t="str">
        <x:v>共享数据库服务器</x:v>
      </x:c>
      <x:c r="B32" s="47" t="n">
        <x:f>'参数与单价'!$B$32</x:f>
        <x:v>1</x:v>
      </x:c>
      <x:c r="C32" s="47" t="n">
        <x:f>B32*'参数与单价'!$B$30/'参数与单价'!$B$7</x:f>
        <x:v>230</x:v>
      </x:c>
      <x:c r="D32" s="48" t="n">
        <x:f>C32</x:f>
        <x:v>230</x:v>
      </x:c>
      <x:c r="E32" s="9" t="str">
        <x:v>元/家/月</x:v>
      </x:c>
      <x:c r="F32" s="12" t="str">
        <x:v>自管数据库已计服务器费，不再重复列托管数据库费。</x:v>
      </x:c>
    </x:row>
    <x:row r="33" ht="34" customHeight="1">
      <x:c r="A33" s="9" t="str">
        <x:v>任务执行容量分配</x:v>
      </x:c>
      <x:c r="B33" s="47" t="n">
        <x:f>'参数与单价'!$B$33</x:f>
        <x:v>1</x:v>
      </x:c>
      <x:c r="C33" s="47" t="n">
        <x:f>B33*'参数与单价'!$B$30</x:f>
        <x:v>230</x:v>
      </x:c>
      <x:c r="D33" s="48" t="n">
        <x:f>C33</x:f>
        <x:v>230</x:v>
      </x:c>
      <x:c r="E33" s="9" t="str">
        <x:v>元/家/月</x:v>
      </x:c>
      <x:c r="F33" s="12" t="str">
        <x:v>按每客户新增一台等效容量预算；任务队列可共享调度。</x:v>
      </x:c>
    </x:row>
    <x:row r="34" ht="34" customHeight="1">
      <x:c r="A34" s="9" t="str">
        <x:v>文件及版本/备份</x:v>
      </x:c>
      <x:c r="B34" s="47" t="n">
        <x:f>'参数与单价'!$B$34*'参数与单价'!$B$35</x:f>
        <x:v>200</x:v>
      </x:c>
      <x:c r="C34" s="47" t="n">
        <x:f>B34*'参数与单价'!$B$37</x:f>
        <x:v>23.599999999999998</x:v>
      </x:c>
      <x:c r="D34" s="48" t="n">
        <x:f>C34</x:f>
        <x:v>23.599999999999998</x:v>
      </x:c>
      <x:c r="E34" s="9" t="str">
        <x:v>元/家/月</x:v>
      </x:c>
      <x:c r="F34" s="12" t="str">
        <x:v>有效文件量×版本备份系数；GB/月。</x:v>
      </x:c>
    </x:row>
    <x:row r="35" ht="34" customHeight="1">
      <x:c r="A35" s="9" t="str">
        <x:v>共享数据库备份</x:v>
      </x:c>
      <x:c r="B35" s="47" t="n">
        <x:f>'参数与单价'!$B$36/'参数与单价'!$B$7</x:f>
        <x:v>50</x:v>
      </x:c>
      <x:c r="C35" s="47" t="n">
        <x:f>B35*'参数与单价'!$B$37</x:f>
        <x:v>5.8999999999999995</x:v>
      </x:c>
      <x:c r="D35" s="48" t="n">
        <x:f>C35</x:f>
        <x:v>5.8999999999999995</x:v>
      </x:c>
      <x:c r="E35" s="9" t="str">
        <x:v>元/家/月</x:v>
      </x:c>
      <x:c r="F35" s="12" t="str">
        <x:v>平台备份GB÷客户数，与文件备份分开。</x:v>
      </x:c>
    </x:row>
    <x:row r="36" ht="34" customHeight="1">
      <x:c r="A36" s="9" t="str">
        <x:v>COS公网下载</x:v>
      </x:c>
      <x:c r="B36" s="47" t="n">
        <x:f>'参数与单价'!$B$38</x:f>
        <x:v>100</x:v>
      </x:c>
      <x:c r="C36" s="47" t="n">
        <x:f>B36*'参数与单价'!$B$39</x:f>
        <x:v>50</x:v>
      </x:c>
      <x:c r="D36" s="48" t="n">
        <x:f>C36</x:f>
        <x:v>50</x:v>
      </x:c>
      <x:c r="E36" s="9" t="str">
        <x:v>元/家/月</x:v>
      </x:c>
      <x:c r="F36" s="12" t="str">
        <x:v>GB/月；只计COS客户端公网下载，不重复计内网读取。</x:v>
      </x:c>
    </x:row>
    <x:row r="37" ht="34" customHeight="1">
      <x:c r="A37" s="9" t="str">
        <x:v>标准存储读写请求</x:v>
      </x:c>
      <x:c r="B37" s="47" t="n">
        <x:f>'参数与单价'!$B$40/10000</x:f>
        <x:v>100</x:v>
      </x:c>
      <x:c r="C37" s="47" t="n">
        <x:f>B37*'参数与单价'!$B$41</x:f>
        <x:v>1</x:v>
      </x:c>
      <x:c r="D37" s="48" t="n">
        <x:f>C37</x:f>
        <x:v>1</x:v>
      </x:c>
      <x:c r="E37" s="9" t="str">
        <x:v>元/家/月</x:v>
      </x:c>
      <x:c r="F37" s="12" t="str">
        <x:v>万次/月；COS三项单价为参考示例，采购时重新核价。</x:v>
      </x:c>
    </x:row>
    <x:row r="38" ht="34" customHeight="1">
      <x:c r="A38" s="31" t="str">
        <x:v>云设施与文件小计</x:v>
      </x:c>
      <x:c r="B38" s="32"/>
      <x:c r="C38" s="34" t="n">
        <x:f>SUM(C31:C37)</x:f>
        <x:v>770.5</x:v>
      </x:c>
      <x:c r="D38" s="34" t="n">
        <x:f>C38</x:f>
        <x:v>770.5</x:v>
      </x:c>
      <x:c r="E38" s="31" t="str">
        <x:v>元/家/月</x:v>
      </x:c>
      <x:c r="F38" s="33" t="str">
        <x:v>服务器带宽/磁盘预算内使用；扩容、带宽超额、高可用增强另计。</x:v>
      </x:c>
    </x:row>
    <x:row r="39" ht="34" customHeight="1">
      <x:c r="A39" s="23" t="str">
        <x:v>模型API：Flash高峰价</x:v>
      </x:c>
      <x:c r="B39" s="27" t="str">
        <x:v>用量 / 比例</x:v>
      </x:c>
      <x:c r="C39" s="27" t="str">
        <x:v>直接经济成本</x:v>
      </x:c>
      <x:c r="D39" s="27" t="str">
        <x:v>分摊后预算成本</x:v>
      </x:c>
      <x:c r="E39" s="23" t="str">
        <x:v>元/家/月</x:v>
      </x:c>
      <x:c r="F39" s="25" t="str">
        <x:v>计算说明</x:v>
      </x:c>
    </x:row>
    <x:row r="40" ht="34" customHeight="1">
      <x:c r="A40" s="9" t="str">
        <x:v>正常任务总数</x:v>
      </x:c>
      <x:c r="B40" s="47" t="n">
        <x:f>'参数与单价'!$B$6*'参数与单价'!$B$20*'参数与单价'!$B$21</x:f>
        <x:v>2200</x:v>
      </x:c>
      <x:c r="C40" s="16"/>
      <x:c r="D40" s="16"/>
      <x:c r="E40" s="9" t="str">
        <x:v>任务/月</x:v>
      </x:c>
      <x:c r="F40" s="12" t="str">
        <x:v>使用人数×使用天数×每人每日任务数。</x:v>
      </x:c>
    </x:row>
    <x:row r="41" ht="34" customHeight="1">
      <x:c r="A41" s="9" t="str">
        <x:v>未命中输入费用</x:v>
      </x:c>
      <x:c r="B41" s="47" t="n">
        <x:f>B40*'参数与单价'!$B$22*(1-'参数与单价'!$B$24)/1000000</x:f>
        <x:v>220</x:v>
      </x:c>
      <x:c r="C41" s="47" t="n">
        <x:f>B41*'参数与单价'!$B$26</x:f>
        <x:v>440</x:v>
      </x:c>
      <x:c r="D41" s="48" t="n">
        <x:f>C41</x:f>
        <x:v>440</x:v>
      </x:c>
      <x:c r="E41" s="9" t="str">
        <x:v>元/月</x:v>
      </x:c>
      <x:c r="F41" s="12" t="str">
        <x:v>B列为每月百万tokens：任务数×每任务累计输入×未命中比例。</x:v>
      </x:c>
    </x:row>
    <x:row r="42" ht="34" customHeight="1">
      <x:c r="A42" s="9" t="str">
        <x:v>命中输入费用</x:v>
      </x:c>
      <x:c r="B42" s="47" t="n">
        <x:f>B40*'参数与单价'!$B$22*'参数与单价'!$B$24/1000000</x:f>
        <x:v>0</x:v>
      </x:c>
      <x:c r="C42" s="47" t="n">
        <x:f>B42*'参数与单价'!$B$27</x:f>
        <x:v>0</x:v>
      </x:c>
      <x:c r="D42" s="48" t="n">
        <x:f>C42</x:f>
        <x:v>0</x:v>
      </x:c>
      <x:c r="E42" s="9" t="str">
        <x:v>元/月</x:v>
      </x:c>
      <x:c r="F42" s="12" t="str">
        <x:v>B列为每月百万tokens；基准不假设缓存节省。</x:v>
      </x:c>
    </x:row>
    <x:row r="43" ht="34" customHeight="1">
      <x:c r="A43" s="9" t="str">
        <x:v>输出费用</x:v>
      </x:c>
      <x:c r="B43" s="47" t="n">
        <x:f>B40*'参数与单价'!$B$23/1000000</x:f>
        <x:v>22</x:v>
      </x:c>
      <x:c r="C43" s="47" t="n">
        <x:f>B43*'参数与单价'!$B$28</x:f>
        <x:v>176</x:v>
      </x:c>
      <x:c r="D43" s="48" t="n">
        <x:f>C43</x:f>
        <x:v>176</x:v>
      </x:c>
      <x:c r="E43" s="9" t="str">
        <x:v>元/月</x:v>
      </x:c>
      <x:c r="F43" s="12" t="str">
        <x:v>B列为每月百万tokens；包含计费思考输出。</x:v>
      </x:c>
    </x:row>
    <x:row r="44" ht="34" customHeight="1">
      <x:c r="A44" s="9" t="str">
        <x:v>正常执行模型费</x:v>
      </x:c>
      <x:c r="B44" s="16"/>
      <x:c r="C44" s="48" t="n">
        <x:f>SUM(C41:C43)</x:f>
        <x:v>616</x:v>
      </x:c>
      <x:c r="D44" s="48" t="n">
        <x:f>C44</x:f>
        <x:v>616</x:v>
      </x:c>
      <x:c r="E44" s="9" t="str">
        <x:v>元/月</x:v>
      </x:c>
      <x:c r="F44" s="12" t="str">
        <x:v>输入＋输出；不含另列重试预算。</x:v>
      </x:c>
    </x:row>
    <x:row r="45" ht="34" customHeight="1">
      <x:c r="A45" s="9" t="str">
        <x:v>额外重试用量预算</x:v>
      </x:c>
      <x:c r="B45" s="50" t="n">
        <x:f>'参数与单价'!$B$25</x:f>
        <x:v>0.2</x:v>
      </x:c>
      <x:c r="C45" s="48" t="n">
        <x:f>C44*B45</x:f>
        <x:v>123.2</x:v>
      </x:c>
      <x:c r="D45" s="48" t="n">
        <x:f>C45</x:f>
        <x:v>123.2</x:v>
      </x:c>
      <x:c r="E45" s="9" t="str">
        <x:v>元/月</x:v>
      </x:c>
      <x:c r="F45" s="12" t="str">
        <x:v>增加用量的假设，不是供应商额外收取20%的附加费。</x:v>
      </x:c>
    </x:row>
    <x:row r="46" ht="34" customHeight="1">
      <x:c r="A46" s="31" t="str">
        <x:v>模型API预算合计</x:v>
      </x:c>
      <x:c r="B46" s="32"/>
      <x:c r="C46" s="34" t="n">
        <x:f>SUM(C44:C45)</x:f>
        <x:v>739.2</x:v>
      </x:c>
      <x:c r="D46" s="34" t="n">
        <x:f>C46</x:f>
        <x:v>739.2</x:v>
      </x:c>
      <x:c r="E46" s="31" t="str">
        <x:v>元/月</x:v>
      </x:c>
      <x:c r="F46" s="33" t="str">
        <x:v>真实成本按所有请求账单相加，不再机械加重试系数。</x:v>
      </x:c>
    </x:row>
    <x:row r="47" ht="34" customHeight="1">
      <x:c r="A47" s="31" t="str">
        <x:v>云设施＋API外部支出</x:v>
      </x:c>
      <x:c r="B47" s="32"/>
      <x:c r="C47" s="34" t="n">
        <x:f>C38+C46</x:f>
        <x:v>1509.7</x:v>
      </x:c>
      <x:c r="D47" s="34" t="n">
        <x:f>C47</x:f>
        <x:v>1509.7</x:v>
      </x:c>
      <x:c r="E47" s="31" t="str">
        <x:v>元/家/月</x:v>
      </x:c>
      <x:c r="F47" s="33" t="str">
        <x:v>普通办公基准；未包括下方未选型的其他付费工具。</x:v>
      </x:c>
    </x:row>
    <x:row r="48" ht="34" customHeight="1">
      <x:c r="A48" s="23" t="str">
        <x:v>每月持续服务人工</x:v>
      </x:c>
      <x:c r="B48" s="27" t="str">
        <x:v>小时/家/月</x:v>
      </x:c>
      <x:c r="C48" s="27" t="str">
        <x:v>直接经济成本</x:v>
      </x:c>
      <x:c r="D48" s="27" t="str">
        <x:v>分摊后预算成本</x:v>
      </x:c>
      <x:c r="E48" s="23" t="str">
        <x:v>元/家/月</x:v>
      </x:c>
      <x:c r="F48" s="25" t="str">
        <x:v>计算说明</x:v>
      </x:c>
    </x:row>
    <x:row r="49" ht="34" customHeight="1">
      <x:c r="A49" s="9" t="str">
        <x:v>月度复盘与准备</x:v>
      </x:c>
      <x:c r="B49" s="47" t="n">
        <x:f>'参数与单价'!$B$43*'参数与单价'!$B$44</x:f>
        <x:v>3</x:v>
      </x:c>
      <x:c r="C49" s="48" t="n">
        <x:f>B49*$C$16</x:f>
        <x:v>281.25</x:v>
      </x:c>
      <x:c r="D49" s="48" t="n">
        <x:f>B49*$D$16</x:f>
        <x:v>468.75</x:v>
      </x:c>
      <x:c r="E49" s="9" t="str">
        <x:v>元/家/月</x:v>
      </x:c>
      <x:c r="F49" s="12" t="str">
        <x:v>每次包含准备、复盘会议、后续整理。</x:v>
      </x:c>
    </x:row>
    <x:row r="50" ht="34" customHeight="1">
      <x:c r="A50" s="9" t="str">
        <x:v>季度进阶培训月均</x:v>
      </x:c>
      <x:c r="B50" s="47" t="n">
        <x:f>'参数与单价'!$B$46/'参数与单价'!$B$45</x:f>
        <x:v>1.3333333333333333</x:v>
      </x:c>
      <x:c r="C50" s="48" t="n">
        <x:f>B50*$C$16</x:f>
        <x:v>125</x:v>
      </x:c>
      <x:c r="D50" s="48" t="n">
        <x:f>B50*$D$16</x:f>
        <x:v>208.33333333333331</x:v>
      </x:c>
      <x:c r="E50" s="9" t="str">
        <x:v>元/家/月</x:v>
      </x:c>
      <x:c r="F50" s="12" t="str">
        <x:v>季度4小时÷3个月；实际支出集中在培训月。</x:v>
      </x:c>
    </x:row>
    <x:row r="51" ht="34" customHeight="1">
      <x:c r="A51" s="9" t="str">
        <x:v>日常支持与资料检查</x:v>
      </x:c>
      <x:c r="B51" s="47" t="n">
        <x:f>'参数与单价'!$B$47</x:f>
        <x:v>2</x:v>
      </x:c>
      <x:c r="C51" s="48" t="n">
        <x:f>B51*$C$16</x:f>
        <x:v>187.5</x:v>
      </x:c>
      <x:c r="D51" s="48" t="n">
        <x:f>B51*$D$16</x:f>
        <x:v>312.5</x:v>
      </x:c>
      <x:c r="E51" s="9" t="str">
        <x:v>元/家/月</x:v>
      </x:c>
      <x:c r="F51" s="12" t="str">
        <x:v>固定服务范围内的小问题、资料使用检查。</x:v>
      </x:c>
    </x:row>
    <x:row r="52" ht="34" customHeight="1">
      <x:c r="A52" s="9" t="str">
        <x:v>共享系统运维分摊</x:v>
      </x:c>
      <x:c r="B52" s="47" t="n">
        <x:f>'参数与单价'!$B$48/'参数与单价'!$B$7</x:f>
        <x:v>4</x:v>
      </x:c>
      <x:c r="C52" s="48" t="n">
        <x:f>B52*$C$16</x:f>
        <x:v>375</x:v>
      </x:c>
      <x:c r="D52" s="48" t="n">
        <x:f>B52*$D$16</x:f>
        <x:v>625</x:v>
      </x:c>
      <x:c r="E52" s="9" t="str">
        <x:v>元/家/月</x:v>
      </x:c>
      <x:c r="F52" s="12" t="str">
        <x:v>平台总运维工时÷客户数；规模扩大要提高总工时。</x:v>
      </x:c>
    </x:row>
    <x:row r="53" ht="34" customHeight="1">
      <x:c r="A53" s="31" t="str">
        <x:v>每月持续服务人工小计</x:v>
      </x:c>
      <x:c r="B53" s="49" t="n">
        <x:f>SUM(B49:B52)</x:f>
        <x:v>10.333333333333332</x:v>
      </x:c>
      <x:c r="C53" s="34" t="n">
        <x:f>SUM(C49:C52)</x:f>
        <x:v>968.75</x:v>
      </x:c>
      <x:c r="D53" s="34" t="n">
        <x:f>SUM(D49:D52)</x:f>
        <x:v>1614.5833333333333</x:v>
      </x:c>
      <x:c r="E53" s="31" t="str">
        <x:v>元/家/月</x:v>
      </x:c>
      <x:c r="F53" s="33" t="str">
        <x:v>两列均包含本人劳动价值；不能把自有人工当作免费。</x:v>
      </x:c>
    </x:row>
    <x:row r="54" ht="34" customHeight="1">
      <x:c r="A54" s="31" t="str">
        <x:v>每月完整基准小计</x:v>
      </x:c>
      <x:c r="B54" s="32"/>
      <x:c r="C54" s="34" t="n">
        <x:f>C47+C53</x:f>
        <x:v>2478.45</x:v>
      </x:c>
      <x:c r="D54" s="34" t="n">
        <x:f>D47+D53</x:f>
        <x:v>3124.2833333333333</x:v>
      </x:c>
      <x:c r="E54" s="31" t="str">
        <x:v>元/家/月</x:v>
      </x:c>
      <x:c r="F54" s="33" t="str">
        <x:v>此处完整仅指上述基准范围，不是公司全成本。</x:v>
      </x:c>
    </x:row>
    <x:row r="55" ht="34" customHeight="1">
      <x:c r="A55" s="9"/>
      <x:c r="B55" s="16"/>
      <x:c r="C55" s="16"/>
      <x:c r="D55" s="16"/>
      <x:c r="E55" s="9"/>
      <x:c r="F55" s="12"/>
    </x:row>
    <x:row r="56" ht="34" customHeight="1">
      <x:c r="A56" s="23" t="str">
        <x:v>一人交付能力与公司视角</x:v>
      </x:c>
      <x:c r="B56" s="27" t="str">
        <x:v>数值</x:v>
      </x:c>
      <x:c r="C56" s="27" t="str">
        <x:v>直接经济成本</x:v>
      </x:c>
      <x:c r="D56" s="27" t="str">
        <x:v>分摊后预算成本</x:v>
      </x:c>
      <x:c r="E56" s="23" t="str">
        <x:v>单位</x:v>
      </x:c>
      <x:c r="F56" s="25" t="str">
        <x:v>计算说明</x:v>
      </x:c>
    </x:row>
    <x:row r="57" ht="34" customHeight="1">
      <x:c r="A57" s="9" t="str">
        <x:v>现有客户月服务总工时</x:v>
      </x:c>
      <x:c r="B57" s="47" t="n">
        <x:f>B53*'参数与单价'!$B$7</x:f>
        <x:v>10.333333333333332</x:v>
      </x:c>
      <x:c r="C57" s="16"/>
      <x:c r="D57" s="16"/>
      <x:c r="E57" s="9" t="str">
        <x:v>小时/月</x:v>
      </x:c>
      <x:c r="F57" s="12" t="str">
        <x:v>单家服务工时×客户数；共享运维只算一次。</x:v>
      </x:c>
    </x:row>
    <x:row r="58" ht="34" customHeight="1">
      <x:c r="A58" s="9" t="str">
        <x:v>可用于新增实施的工时</x:v>
      </x:c>
      <x:c r="B58" s="48" t="n">
        <x:f>B15-B57</x:f>
        <x:v>85.66666666666667</x:v>
      </x:c>
      <x:c r="C58" s="16"/>
      <x:c r="D58" s="16"/>
      <x:c r="E58" s="9" t="str">
        <x:v>小时/月</x:v>
      </x:c>
      <x:c r="F58" s="12" t="str">
        <x:v>有效客户服务总工时－现有客户月服务总工时；负数表示超出本人人力。</x:v>
      </x:c>
    </x:row>
    <x:row r="59" ht="34" customHeight="1">
      <x:c r="A59" s="9" t="str">
        <x:v>新增完整实施容量</x:v>
      </x:c>
      <x:c r="B59" s="48" t="n">
        <x:f>B58/B25</x:f>
        <x:v>1.0708333333333333</x:v>
      </x:c>
      <x:c r="C59" s="16"/>
      <x:c r="D59" s="16"/>
      <x:c r="E59" s="9" t="str">
        <x:v>家/月</x:v>
      </x:c>
      <x:c r="F59" s="12" t="str">
        <x:v>剩余工时÷单家实施工时；可为小数，代表跨月交付。</x:v>
      </x:c>
    </x:row>
    <x:row r="60" ht="34" customHeight="1">
      <x:c r="A60" s="31" t="str">
        <x:v>公司月已知劳动＋云成本</x:v>
      </x:c>
      <x:c r="B60" s="32"/>
      <x:c r="C60" s="34" t="n">
        <x:f>'参数与单价'!$B$8+C47*'参数与单价'!$B$7</x:f>
        <x:v>16509.7</x:v>
      </x:c>
      <x:c r="D60" s="34"/>
      <x:c r="E60" s="31" t="str">
        <x:v>元/月</x:v>
      </x:c>
      <x:c r="F60" s="33" t="str">
        <x:v>月综合劳动成本全额＋全部客户云/API支出；不可再加上本表分摊人工。</x:v>
      </x:c>
    </x:row>
    <x:row r="61" ht="34" customHeight="1">
      <x:c r="A61" s="9"/>
      <x:c r="B61" s="10"/>
      <x:c r="C61" s="10"/>
      <x:c r="D61" s="10"/>
      <x:c r="E61" s="9"/>
      <x:c r="F61" s="12"/>
    </x:row>
    <x:row r="62" ht="34" customHeight="1">
      <x:c r="A62" s="23" t="str">
        <x:v>尚不能确认的费用</x:v>
      </x:c>
      <x:c r="B62" s="24" t="str">
        <x:v>当前状态</x:v>
      </x:c>
      <x:c r="C62" s="24" t="str">
        <x:v>直接经济成本</x:v>
      </x:c>
      <x:c r="D62" s="24" t="str">
        <x:v>分摊后预算成本</x:v>
      </x:c>
      <x:c r="E62" s="23" t="str">
        <x:v>计入方法</x:v>
      </x:c>
      <x:c r="F62" s="25" t="str">
        <x:v>计算说明</x:v>
      </x:c>
    </x:row>
    <x:row r="63" ht="52" customHeight="1">
      <x:c r="A63" s="9" t="str">
        <x:v>通用产品研发与迭代</x:v>
      </x:c>
      <x:c r="B63" s="10" t="str">
        <x:v>待工时/选型</x:v>
      </x:c>
      <x:c r="C63" s="10"/>
      <x:c r="D63" s="10"/>
      <x:c r="E63" s="9"/>
      <x:c r="F63" s="12" t="str">
        <x:v>实际研发工时×人员成本＋外包/采购；本人非交付时间已分摊的部分不得重复加。</x:v>
      </x:c>
    </x:row>
    <x:row r="64" ht="52" customHeight="1">
      <x:c r="A64" s="9" t="str">
        <x:v>差旅、外包及客户新增实施</x:v>
      </x:c>
      <x:c r="B64" s="10" t="str">
        <x:v>待实际范围</x:v>
      </x:c>
      <x:c r="C64" s="10"/>
      <x:c r="D64" s="10"/>
      <x:c r="E64" s="9"/>
      <x:c r="F64" s="12" t="str">
        <x:v>该基准未计跨城差旅及额外采购；实际发生后归属客户。</x:v>
      </x:c>
    </x:row>
    <x:row r="65" ht="52" customHeight="1">
      <x:c r="A65" s="9" t="str">
        <x:v>OCR、Embedding等工具</x:v>
      </x:c>
      <x:c r="B65" s="10" t="str">
        <x:v>待产品选型</x:v>
      </x:c>
      <x:c r="C65" s="10"/>
      <x:c r="D65" s="10"/>
      <x:c r="E65" s="9"/>
      <x:c r="F65" s="12" t="str">
        <x:v>基准按普通文本解析/检索且无付费外部工具；若引入按页/量/时单独计费。</x:v>
      </x:c>
    </x:row>
    <x:row r="66" ht="52" customHeight="1">
      <x:c r="A66" s="9" t="str">
        <x:v>公司获客及其他经营开支</x:v>
      </x:c>
      <x:c r="B66" s="10" t="str">
        <x:v>待实际发生</x:v>
      </x:c>
      <x:c r="C66" s="10"/>
      <x:c r="D66" s="10"/>
      <x:c r="E66" s="9"/>
      <x:c r="F66" s="12" t="str">
        <x:v>广告、渠道佣金、域名、外采运维、安全服务、办公及税费影响等另核；不重复摊本人工资。</x:v>
      </x:c>
    </x:row>
    <x:row r="67" ht="52" customHeight="1">
      <x:c r="A67" s="9" t="str">
        <x:v>公司全部成本</x:v>
      </x:c>
      <x:c r="B67" s="10" t="str">
        <x:v>尚不能确认</x:v>
      </x:c>
      <x:c r="C67" s="10"/>
      <x:c r="D67" s="10"/>
      <x:c r="E67" s="9"/>
      <x:c r="F67" s="12" t="str">
        <x:v>主结果只是已定义范围的单客预算；未定项不以0冒充实际成本。</x:v>
      </x:c>
    </x:row>
  </x:sheetData>
  <x:conditionalFormatting sqref="B58:B59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85AB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6.110000610351562" hidden="0" customWidth="1"/>
    <x:col min="3" max="3" width="17.219999313354492" hidden="0" customWidth="1"/>
    <x:col min="4" max="4" width="17.219999313354492" hidden="0" customWidth="1"/>
    <x:col min="5" max="5" width="55.560001373291016" hidden="0" customWidth="1"/>
    <x:col min="6" max="6" width="38.88999938964844" hidden="0" customWidth="1"/>
  </x:cols>
  <x:sheetData>
    <x:row r="1" ht="36" customHeight="1">
      <x:c r="A1" s="11" t="str">
        <x:v>参数与单价</x:v>
      </x:c>
      <x:c r="B1" s="11"/>
      <x:c r="C1" s="11"/>
      <x:c r="D1" s="11"/>
      <x:c r="E1" s="11"/>
      <x:c r="F1" s="11"/>
    </x:row>
    <x:row r="2" ht="48" customHeight="1">
      <x:c r="A2" s="9" t="str">
        <x:v>基准日期：2026-09-14</x:v>
      </x:c>
      <x:c r="B2" s="9"/>
      <x:c r="C2" s="9"/>
      <x:c r="D2" s="9"/>
      <x:c r="E2" s="9" t="str">
        <x:v>蓝字浅黄色单元格可修改。假设不是实测；金额单位均为人民币。</x:v>
      </x:c>
      <x:c r="F2" s="12"/>
    </x:row>
    <x:row r="3" ht="48" customHeight="1">
      <x:c r="A3" s="9" t="str">
        <x:v>场景边界</x:v>
      </x:c>
      <x:c r="B3" s="9"/>
      <x:c r="C3" s="9"/>
      <x:c r="D3" s="9"/>
      <x:c r="E3" s="9" t="str">
        <x:v>假设通用产品已开发完成，测算单客交付与运营；默认20人、1—2部门；无跨城差旅、付费OCR或自建GPU推理。</x:v>
      </x:c>
      <x:c r="F3" s="12"/>
    </x:row>
    <x:row r="4" ht="34" customHeight="1">
      <x:c r="A4" s="23" t="str">
        <x:v>参数</x:v>
      </x:c>
      <x:c r="B4" s="23" t="str">
        <x:v>数值</x:v>
      </x:c>
      <x:c r="C4" s="23" t="str">
        <x:v>单位</x:v>
      </x:c>
      <x:c r="D4" s="23" t="str">
        <x:v>依据类型</x:v>
      </x:c>
      <x:c r="E4" s="23" t="str">
        <x:v>说明 / 待验证事项</x:v>
      </x:c>
      <x:c r="F4" s="25" t="str">
        <x:v>来源（每来源仅列一次）</x:v>
      </x:c>
    </x:row>
    <x:row r="5" ht="32" customHeight="1">
      <x:c r="A5" s="40" t="str">
        <x:v>客户范围与人力口径</x:v>
      </x:c>
      <x:c r="B5" s="41"/>
      <x:c r="C5" s="42"/>
      <x:c r="D5" s="42"/>
      <x:c r="E5" s="40"/>
      <x:c r="F5" s="43"/>
    </x:row>
    <x:row r="6" ht="50" customHeight="1">
      <x:c r="A6" s="9" t="str">
        <x:v>单家实际使用人数</x:v>
      </x:c>
      <x:c r="B6" s="44" t="n">
        <x:v>20</x:v>
      </x:c>
      <x:c r="C6" s="37" t="str">
        <x:v>人</x:v>
      </x:c>
      <x:c r="D6" s="37" t="str">
        <x:v>场景假设</x:v>
      </x:c>
      <x:c r="E6" s="9" t="str">
        <x:v>用户确认10—30人，此处取20人。</x:v>
      </x:c>
      <x:c r="F6" s="12" t="str"/>
    </x:row>
    <x:row r="7" ht="50" customHeight="1">
      <x:c r="A7" s="9" t="str">
        <x:v>分摊共享设施的客户数</x:v>
      </x:c>
      <x:c r="B7" s="44" t="n">
        <x:v>1</x:v>
      </x:c>
      <x:c r="C7" s="37" t="str">
        <x:v>家</x:v>
      </x:c>
      <x:c r="D7" s="37" t="str">
        <x:v>场景假设</x:v>
      </x:c>
      <x:c r="E7" s="9" t="str">
        <x:v>从第一家起算；有实际客户后再增加，不能提前按预计客户数摊薄。</x:v>
      </x:c>
      <x:c r="F7" s="12" t="str"/>
    </x:row>
    <x:row r="8" ht="50" customHeight="1">
      <x:c r="A8" s="9" t="str">
        <x:v>本人月综合劳动成本</x:v>
      </x:c>
      <x:c r="B8" s="44" t="n">
        <x:v>15000</x:v>
      </x:c>
      <x:c r="C8" s="37" t="str">
        <x:v>元/月</x:v>
      </x:c>
      <x:c r="D8" s="37" t="str">
        <x:v>用户确认</x:v>
      </x:c>
      <x:c r="E8" s="9" t="str">
        <x:v>包含工资或机会成本及相关用工支出；不等于本人当月提款。</x:v>
      </x:c>
      <x:c r="F8" s="12" t="str"/>
    </x:row>
    <x:row r="9" ht="50" customHeight="1">
      <x:c r="A9" s="9" t="str">
        <x:v>每月标准劳动天数</x:v>
      </x:c>
      <x:c r="B9" s="44" t="n">
        <x:v>20</x:v>
      </x:c>
      <x:c r="C9" s="37" t="str">
        <x:v>天/月</x:v>
      </x:c>
      <x:c r="D9" s="37" t="str">
        <x:v>场景假设</x:v>
      </x:c>
      <x:c r="E9" s="9" t="str">
        <x:v>用于计算人力成本；与客户AI使用天数分别设置。</x:v>
      </x:c>
      <x:c r="F9" s="12" t="str"/>
    </x:row>
    <x:row r="10" ht="50" customHeight="1">
      <x:c r="A10" s="9" t="str">
        <x:v>每日劳动小时数</x:v>
      </x:c>
      <x:c r="B10" s="44" t="n">
        <x:v>8</x:v>
      </x:c>
      <x:c r="C10" s="37" t="str">
        <x:v>小时/天</x:v>
      </x:c>
      <x:c r="D10" s="37" t="str">
        <x:v>场景假设</x:v>
      </x:c>
      <x:c r="E10" s="9" t="str">
        <x:v>统一以小时记录工作量。</x:v>
      </x:c>
      <x:c r="F10" s="12" t="str"/>
    </x:row>
    <x:row r="11" ht="50" customHeight="1">
      <x:c r="A11" s="9" t="str">
        <x:v>可用于客户交付/服务比例</x:v>
      </x:c>
      <x:c r="B11" s="45" t="n">
        <x:v>0.6</x:v>
      </x:c>
      <x:c r="C11" s="37" t="str">
        <x:v>比例</x:v>
      </x:c>
      <x:c r="D11" s="37" t="str">
        <x:v>场景假设</x:v>
      </x:c>
      <x:c r="E11" s="9" t="str">
        <x:v>其余时间覆盖售前、管理及内部工作。分摊费率中已包含这部分本人人工。</x:v>
      </x:c>
      <x:c r="F11" s="12" t="str"/>
    </x:row>
    <x:row r="12" ht="32" customHeight="1">
      <x:c r="A12" s="40" t="str">
        <x:v>一次实施工时：1—2部门，现有产品配置</x:v>
      </x:c>
      <x:c r="B12" s="41"/>
      <x:c r="C12" s="42"/>
      <x:c r="D12" s="42"/>
      <x:c r="E12" s="40"/>
      <x:c r="F12" s="43"/>
    </x:row>
    <x:row r="13" ht="50" customHeight="1">
      <x:c r="A13" s="9" t="str">
        <x:v>需求访谈与资料盘点</x:v>
      </x:c>
      <x:c r="B13" s="44" t="n">
        <x:v>16</x:v>
      </x:c>
      <x:c r="C13" s="37" t="str">
        <x:v>小时/家</x:v>
      </x:c>
      <x:c r="D13" s="37" t="str">
        <x:v>待实测</x:v>
      </x:c>
      <x:c r="E13" s="9" t="str">
        <x:v>明确资料源、权限负责人、典型工作和验收范围。</x:v>
      </x:c>
      <x:c r="F13" s="12" t="str"/>
    </x:row>
    <x:row r="14" ht="50" customHeight="1">
      <x:c r="A14" s="9" t="str">
        <x:v>资料结构与权限设计</x:v>
      </x:c>
      <x:c r="B14" s="44" t="n">
        <x:v>16</x:v>
      </x:c>
      <x:c r="C14" s="37" t="str">
        <x:v>小时/家</x:v>
      </x:c>
      <x:c r="D14" s="37" t="str">
        <x:v>待实测</x:v>
      </x:c>
      <x:c r="E14" s="9" t="str">
        <x:v>建立目录、角色、共享规则、维护责任；不按部门名数量机械计价。</x:v>
      </x:c>
      <x:c r="F14" s="12" t="str"/>
    </x:row>
    <x:row r="15" ht="50" customHeight="1">
      <x:c r="A15" s="9" t="str">
        <x:v>首批整理、导入与索引</x:v>
      </x:c>
      <x:c r="B15" s="44" t="n">
        <x:v>24</x:v>
      </x:c>
      <x:c r="C15" s="37" t="str">
        <x:v>小时/家</x:v>
      </x:c>
      <x:c r="D15" s="37" t="str">
        <x:v>待实测</x:v>
      </x:c>
      <x:c r="E15" s="9" t="str">
        <x:v>处理约定首批资料；100GB存储占用不代表逐文件人工审阅100GB。</x:v>
      </x:c>
      <x:c r="F15" s="12" t="str"/>
    </x:row>
    <x:row r="16" ht="50" customHeight="1">
      <x:c r="A16" s="9" t="str">
        <x:v>企业环境和账号配置</x:v>
      </x:c>
      <x:c r="B16" s="44" t="n">
        <x:v>8</x:v>
      </x:c>
      <x:c r="C16" s="37" t="str">
        <x:v>小时/家</x:v>
      </x:c>
      <x:c r="D16" s="37" t="str">
        <x:v>待实测</x:v>
      </x:c>
      <x:c r="E16" s="9" t="str">
        <x:v>产品已开发完成后的租户配置；不含通用产品研发。</x:v>
      </x:c>
      <x:c r="F16" s="12" t="str"/>
    </x:row>
    <x:row r="17" ht="50" customHeight="1">
      <x:c r="A17" s="9" t="str">
        <x:v>典型工作验证、首训与交接</x:v>
      </x:c>
      <x:c r="B17" s="44" t="n">
        <x:v>16</x:v>
      </x:c>
      <x:c r="C17" s="37" t="str">
        <x:v>小时/家</x:v>
      </x:c>
      <x:c r="D17" s="37" t="str">
        <x:v>待实测</x:v>
      </x:c>
      <x:c r="E17" s="9" t="str">
        <x:v>含培训准备、授课、权限/检索验证和操作交接。</x:v>
      </x:c>
      <x:c r="F17" s="12" t="str"/>
    </x:row>
    <x:row r="18" ht="50" customHeight="1">
      <x:c r="A18" s="9" t="str">
        <x:v>实施风险准备金比例</x:v>
      </x:c>
      <x:c r="B18" s="45" t="n">
        <x:v>0.15</x:v>
      </x:c>
      <x:c r="C18" s="37" t="str">
        <x:v>比例</x:v>
      </x:c>
      <x:c r="D18" s="37" t="str">
        <x:v>预算假设</x:v>
      </x:c>
      <x:c r="E18" s="9" t="str">
        <x:v>单独列示；不是已发生费用，也不自动加进主成本合计。</x:v>
      </x:c>
      <x:c r="F18" s="12" t="str"/>
    </x:row>
    <x:row r="19" ht="32" customHeight="1">
      <x:c r="A19" s="40" t="str">
        <x:v>模型用量：单家每月，任务全链路累计</x:v>
      </x:c>
      <x:c r="B19" s="41"/>
      <x:c r="C19" s="42"/>
      <x:c r="D19" s="42"/>
      <x:c r="E19" s="40"/>
      <x:c r="F19" s="43"/>
    </x:row>
    <x:row r="20" ht="50" customHeight="1">
      <x:c r="A20" s="9" t="str">
        <x:v>每月使用AI天数</x:v>
      </x:c>
      <x:c r="B20" s="44" t="n">
        <x:v>22</x:v>
      </x:c>
      <x:c r="C20" s="37" t="str">
        <x:v>天/月</x:v>
      </x:c>
      <x:c r="D20" s="37" t="str">
        <x:v>场景假设</x:v>
      </x:c>
      <x:c r="E20" s="9" t="str">
        <x:v>按实际使用人数全部在这些天使用来估算。</x:v>
      </x:c>
      <x:c r="F20" s="12" t="str"/>
    </x:row>
    <x:row r="21" ht="50" customHeight="1">
      <x:c r="A21" s="9" t="str">
        <x:v>每人每日任务数</x:v>
      </x:c>
      <x:c r="B21" s="44" t="n">
        <x:v>5</x:v>
      </x:c>
      <x:c r="C21" s="37" t="str">
        <x:v>任务/人/天</x:v>
      </x:c>
      <x:c r="D21" s="37" t="str">
        <x:v>待实测</x:v>
      </x:c>
      <x:c r="E21" s="9" t="str">
        <x:v>一次任务可有多次模型调用与工具调用，不能按单轮对话计量。</x:v>
      </x:c>
      <x:c r="F21" s="12" t="str"/>
    </x:row>
    <x:row r="22" ht="50" customHeight="1">
      <x:c r="A22" s="9" t="str">
        <x:v>每任务正常累计输入</x:v>
      </x:c>
      <x:c r="B22" s="44" t="n">
        <x:v>100000</x:v>
      </x:c>
      <x:c r="C22" s="37" t="str">
        <x:v>tokens/任务</x:v>
      </x:c>
      <x:c r="D22" s="37" t="str">
        <x:v>待实测</x:v>
      </x:c>
      <x:c r="E22" s="9" t="str">
        <x:v>正常执行的全部模型调用输入之和，包含重复上下文；重试另列。</x:v>
      </x:c>
      <x:c r="F22" s="12" t="str"/>
    </x:row>
    <x:row r="23" ht="50" customHeight="1">
      <x:c r="A23" s="9" t="str">
        <x:v>每任务正常累计输出</x:v>
      </x:c>
      <x:c r="B23" s="44" t="n">
        <x:v>10000</x:v>
      </x:c>
      <x:c r="C23" s="37" t="str">
        <x:v>tokens/任务</x:v>
      </x:c>
      <x:c r="D23" s="37" t="str">
        <x:v>待实测</x:v>
      </x:c>
      <x:c r="E23" s="9" t="str">
        <x:v>包括计费的思考及回答输出，全部调用累计。</x:v>
      </x:c>
      <x:c r="F23" s="12" t="str"/>
    </x:row>
    <x:row r="24" ht="50" customHeight="1">
      <x:c r="A24" s="9" t="str">
        <x:v>输入缓存命中比例</x:v>
      </x:c>
      <x:c r="B24" s="45" t="n">
        <x:v>0</x:v>
      </x:c>
      <x:c r="C24" s="37" t="str">
        <x:v>比例</x:v>
      </x:c>
      <x:c r="D24" s="37" t="str">
        <x:v>保守假设</x:v>
      </x:c>
      <x:c r="E24" s="9" t="str">
        <x:v>基准不依赖缓存优惠；用实际账单的缓存命中tokens占比替换。</x:v>
      </x:c>
      <x:c r="F24" s="12" t="str"/>
    </x:row>
    <x:row r="25" ht="50" customHeight="1">
      <x:c r="A25" s="9" t="str">
        <x:v>额外重试用量比例</x:v>
      </x:c>
      <x:c r="B25" s="45" t="n">
        <x:v>0.2</x:v>
      </x:c>
      <x:c r="C25" s="37" t="str">
        <x:v>比例</x:v>
      </x:c>
      <x:c r="D25" s="37" t="str">
        <x:v>预算假设</x:v>
      </x:c>
      <x:c r="E25" s="9" t="str">
        <x:v>假设重试与正常任务成本结构一致；有包含重试的实测均值后设为0。</x:v>
      </x:c>
      <x:c r="F25" s="12" t="str"/>
    </x:row>
    <x:row r="26" ht="50" customHeight="1">
      <x:c r="A26" s="9" t="str">
        <x:v>未命中输入单价</x:v>
      </x:c>
      <x:c r="B26" s="44" t="n">
        <x:v>2</x:v>
      </x:c>
      <x:c r="C26" s="37" t="str">
        <x:v>元/百万tokens</x:v>
      </x:c>
      <x:c r="D26" s="37" t="str">
        <x:v>官方现价</x:v>
      </x:c>
      <x:c r="E26" s="9" t="str">
        <x:v>deepseek-flash，高峰时段价；查询2026-09-14。</x:v>
      </x:c>
      <x:c r="F26" s="12" t="str">
        <x:v>https://api-docs.deepseek.com/zh-cn/quick_start/pricing/</x:v>
      </x:c>
    </x:row>
    <x:row r="27" ht="50" customHeight="1">
      <x:c r="A27" s="9" t="str">
        <x:v>命中输入单价</x:v>
      </x:c>
      <x:c r="B27" s="44" t="n">
        <x:v>0.04</x:v>
      </x:c>
      <x:c r="C27" s="37" t="str">
        <x:v>元/百万tokens</x:v>
      </x:c>
      <x:c r="D27" s="37" t="str">
        <x:v>官方现价</x:v>
      </x:c>
      <x:c r="E27" s="9" t="str">
        <x:v>同上；工作日09—12、14—18为高峰，其余时段价格减半。</x:v>
      </x:c>
      <x:c r="F27" s="12" t="str"/>
    </x:row>
    <x:row r="28" ht="50" customHeight="1">
      <x:c r="A28" s="9" t="str">
        <x:v>输出单价</x:v>
      </x:c>
      <x:c r="B28" s="44" t="n">
        <x:v>8</x:v>
      </x:c>
      <x:c r="C28" s="37" t="str">
        <x:v>元/百万tokens</x:v>
      </x:c>
      <x:c r="D28" s="37" t="str">
        <x:v>官方现价</x:v>
      </x:c>
      <x:c r="E28" s="9" t="str">
        <x:v>同上。基准按全部高峰计费，不预先拿空闲折扣压低成本。</x:v>
      </x:c>
      <x:c r="F28" s="12" t="str"/>
    </x:row>
    <x:row r="29" ht="32" customHeight="1">
      <x:c r="A29" s="40" t="str">
        <x:v>共享云设施：预算配置，承载能力待压测</x:v>
      </x:c>
      <x:c r="B29" s="41"/>
      <x:c r="C29" s="42"/>
      <x:c r="D29" s="42"/>
      <x:c r="E29" s="40"/>
      <x:c r="F29" s="43"/>
    </x:row>
    <x:row r="30" ht="50" customHeight="1">
      <x:c r="A30" s="9" t="str">
        <x:v>4核8GB通用型服务器</x:v>
      </x:c>
      <x:c r="B30" s="44" t="n">
        <x:v>230</x:v>
      </x:c>
      <x:c r="C30" s="37" t="str">
        <x:v>元/台/月</x:v>
      </x:c>
      <x:c r="D30" s="37" t="str">
        <x:v>官方标价</x:v>
      </x:c>
      <x:c r="E30" s="9" t="str">
        <x:v>中国内地Linux；180GB SSD、12Mbps、2000GB/月流量；按月未计长购折扣。</x:v>
      </x:c>
      <x:c r="F30" s="12" t="str">
        <x:v>https://cloud.tencent.com/document/product/1207/73452</x:v>
      </x:c>
    </x:row>
    <x:row r="31" ht="50" customHeight="1">
      <x:c r="A31" s="9" t="str">
        <x:v>共享应用节点数量</x:v>
      </x:c>
      <x:c r="B31" s="44" t="n">
        <x:v>1</x:v>
      </x:c>
      <x:c r="C31" s="37" t="str">
        <x:v>台/平台</x:v>
      </x:c>
      <x:c r="D31" s="37" t="str">
        <x:v>配置假设</x:v>
      </x:c>
      <x:c r="E31" s="9" t="str">
        <x:v>租户管理、权限、网关等；跨租户必须隔离，数量由实测扩容。</x:v>
      </x:c>
      <x:c r="F31" s="12" t="str"/>
    </x:row>
    <x:row r="32" ht="50" customHeight="1">
      <x:c r="A32" s="9" t="str">
        <x:v>共享数据库节点数量</x:v>
      </x:c>
      <x:c r="B32" s="44" t="n">
        <x:v>1</x:v>
      </x:c>
      <x:c r="C32" s="37" t="str">
        <x:v>台/平台</x:v>
      </x:c>
      <x:c r="D32" s="37" t="str">
        <x:v>配置假设</x:v>
      </x:c>
      <x:c r="E32" s="9" t="str">
        <x:v>自管数据库/索引；不是托管高可用数据库，不承诺相同SLA。</x:v>
      </x:c>
      <x:c r="F32" s="12" t="str"/>
    </x:row>
    <x:row r="33" ht="50" customHeight="1">
      <x:c r="A33" s="9" t="str">
        <x:v>每客户新增任务容量</x:v>
      </x:c>
      <x:c r="B33" s="44" t="n">
        <x:v>1</x:v>
      </x:c>
      <x:c r="C33" s="37" t="str">
        <x:v>台等效/家</x:v>
      </x:c>
      <x:c r="D33" s="37" t="str">
        <x:v>配置假设</x:v>
      </x:c>
      <x:c r="E33" s="9" t="str">
        <x:v>共用任务池，按每客户增加1台4核8GB预算；不是每员工1台云桌面。</x:v>
      </x:c>
      <x:c r="F33" s="12" t="str"/>
    </x:row>
    <x:row r="34" ht="50" customHeight="1">
      <x:c r="A34" s="9" t="str">
        <x:v>单家月平均有效文件量</x:v>
      </x:c>
      <x:c r="B34" s="44" t="n">
        <x:v>100</x:v>
      </x:c>
      <x:c r="C34" s="37" t="str">
        <x:v>GB/家</x:v>
      </x:c>
      <x:c r="D34" s="37" t="str">
        <x:v>待实测</x:v>
      </x:c>
      <x:c r="E34" s="9" t="str">
        <x:v>容量均值，非当月上传量；含员工生成的文件。</x:v>
      </x:c>
      <x:c r="F34" s="12" t="str"/>
    </x:row>
    <x:row r="35" ht="50" customHeight="1">
      <x:c r="A35" s="9" t="str">
        <x:v>文件版本/备份容量系数</x:v>
      </x:c>
      <x:c r="B35" s="44" t="n">
        <x:v>2</x:v>
      </x:c>
      <x:c r="C35" s="37" t="str">
        <x:v>倍</x:v>
      </x:c>
      <x:c r="D35" s="37" t="str">
        <x:v>预算假设</x:v>
      </x:c>
      <x:c r="E35" s="9" t="str">
        <x:v>含原件与额外版本/备份占用；不是云厂商内部副本数。</x:v>
      </x:c>
      <x:c r="F35" s="12" t="str"/>
    </x:row>
    <x:row r="36" ht="50" customHeight="1">
      <x:c r="A36" s="9" t="str">
        <x:v>共享数据库备份平均量</x:v>
      </x:c>
      <x:c r="B36" s="44" t="n">
        <x:v>50</x:v>
      </x:c>
      <x:c r="C36" s="37" t="str">
        <x:v>GB/平台</x:v>
      </x:c>
      <x:c r="D36" s="37" t="str">
        <x:v>待实测</x:v>
      </x:c>
      <x:c r="E36" s="9" t="str">
        <x:v>另存对象存储的逻辑备份，按平台分摊；文件备份已在上行系数内。</x:v>
      </x:c>
      <x:c r="F36" s="12" t="str"/>
    </x:row>
    <x:row r="37" ht="50" customHeight="1">
      <x:c r="A37" s="9" t="str">
        <x:v>标准存储参考单价</x:v>
      </x:c>
      <x:c r="B37" s="46" t="n">
        <x:v>0.118</x:v>
      </x:c>
      <x:c r="C37" s="37" t="str">
        <x:v>元/GB/月</x:v>
      </x:c>
      <x:c r="D37" s="37" t="str">
        <x:v>官方示例价</x:v>
      </x:c>
      <x:c r="E37" s="9" t="str">
        <x:v>示例价格仅供预算；选定地域后以采购页核价。</x:v>
      </x:c>
      <x:c r="F37" s="12" t="str">
        <x:v>https://cloud.tencent.com/document/product/436/53863</x:v>
      </x:c>
    </x:row>
    <x:row r="38" ht="50" customHeight="1">
      <x:c r="A38" s="9" t="str">
        <x:v>单家COS公网下载量</x:v>
      </x:c>
      <x:c r="B38" s="44" t="n">
        <x:v>100</x:v>
      </x:c>
      <x:c r="C38" s="37" t="str">
        <x:v>GB/月</x:v>
      </x:c>
      <x:c r="D38" s="37" t="str">
        <x:v>待实测</x:v>
      </x:c>
      <x:c r="E38" s="9" t="str">
        <x:v>客户端直接从COS下载；服务器流量包不能抵扣COS公网下载。</x:v>
      </x:c>
      <x:c r="F38" s="12" t="str"/>
    </x:row>
    <x:row r="39" ht="50" customHeight="1">
      <x:c r="A39" s="9" t="str">
        <x:v>公网下载参考单价</x:v>
      </x:c>
      <x:c r="B39" s="44" t="n">
        <x:v>0.5</x:v>
      </x:c>
      <x:c r="C39" s="37" t="str">
        <x:v>元/GB</x:v>
      </x:c>
      <x:c r="D39" s="37" t="str">
        <x:v>官方示例价</x:v>
      </x:c>
      <x:c r="E39" s="9" t="str">
        <x:v>同上，尚未获得所选地域实际采购价；未使用CDN。</x:v>
      </x:c>
      <x:c r="F39" s="12" t="str"/>
    </x:row>
    <x:row r="40" ht="50" customHeight="1">
      <x:c r="A40" s="9" t="str">
        <x:v>单家存储读写请求</x:v>
      </x:c>
      <x:c r="B40" s="44" t="n">
        <x:v>1000000</x:v>
      </x:c>
      <x:c r="C40" s="37" t="str">
        <x:v>次/月</x:v>
      </x:c>
      <x:c r="D40" s="37" t="str">
        <x:v>待实测</x:v>
      </x:c>
      <x:c r="E40" s="9" t="str">
        <x:v>标准存储读写请求汇总量。</x:v>
      </x:c>
      <x:c r="F40" s="12" t="str"/>
    </x:row>
    <x:row r="41" ht="50" customHeight="1">
      <x:c r="A41" s="9" t="str">
        <x:v>读写请求参考单价</x:v>
      </x:c>
      <x:c r="B41" s="44" t="n">
        <x:v>0.01</x:v>
      </x:c>
      <x:c r="C41" s="37" t="str">
        <x:v>元/万次</x:v>
      </x:c>
      <x:c r="D41" s="37" t="str">
        <x:v>官方示例价</x:v>
      </x:c>
      <x:c r="E41" s="9" t="str">
        <x:v>同上；实际计价按地域、存储类型及账单核实。</x:v>
      </x:c>
      <x:c r="F41" s="12" t="str"/>
    </x:row>
    <x:row r="42" ht="32" customHeight="1">
      <x:c r="A42" s="40" t="str">
        <x:v>上线后的固定服务</x:v>
      </x:c>
      <x:c r="B42" s="41"/>
      <x:c r="C42" s="42"/>
      <x:c r="D42" s="42"/>
      <x:c r="E42" s="40"/>
      <x:c r="F42" s="43"/>
    </x:row>
    <x:row r="43" ht="50" customHeight="1">
      <x:c r="A43" s="9" t="str">
        <x:v>每月复盘次数</x:v>
      </x:c>
      <x:c r="B43" s="44" t="n">
        <x:v>1</x:v>
      </x:c>
      <x:c r="C43" s="37" t="str">
        <x:v>次/月</x:v>
      </x:c>
      <x:c r="D43" s="37" t="str">
        <x:v>服务假设</x:v>
      </x:c>
      <x:c r="E43" s="9" t="str">
        <x:v>用户确认固定频次，此处暂定每月1次。</x:v>
      </x:c>
      <x:c r="F43" s="12" t="str"/>
    </x:row>
    <x:row r="44" ht="50" customHeight="1">
      <x:c r="A44" s="9" t="str">
        <x:v>每次复盘总工时</x:v>
      </x:c>
      <x:c r="B44" s="44" t="n">
        <x:v>3</x:v>
      </x:c>
      <x:c r="C44" s="37" t="str">
        <x:v>小时/次</x:v>
      </x:c>
      <x:c r="D44" s="37" t="str">
        <x:v>待实测</x:v>
      </x:c>
      <x:c r="E44" s="9" t="str">
        <x:v>例：准备1小时＋会议1.5小时＋整理0.5小时。</x:v>
      </x:c>
      <x:c r="F44" s="12" t="str"/>
    </x:row>
    <x:row r="45" ht="50" customHeight="1">
      <x:c r="A45" s="9" t="str">
        <x:v>每次进阶培训间隔</x:v>
      </x:c>
      <x:c r="B45" s="44" t="n">
        <x:v>3</x:v>
      </x:c>
      <x:c r="C45" s="37" t="str">
        <x:v>月/次</x:v>
      </x:c>
      <x:c r="D45" s="37" t="str">
        <x:v>服务假设</x:v>
      </x:c>
      <x:c r="E45" s="9" t="str">
        <x:v>上线后第3、6、9、12个月培训；不重复计算首次入门培训。</x:v>
      </x:c>
      <x:c r="F45" s="12" t="str"/>
    </x:row>
    <x:row r="46" ht="50" customHeight="1">
      <x:c r="A46" s="9" t="str">
        <x:v>每次进阶培训总工时</x:v>
      </x:c>
      <x:c r="B46" s="44" t="n">
        <x:v>4</x:v>
      </x:c>
      <x:c r="C46" s="37" t="str">
        <x:v>小时/次</x:v>
      </x:c>
      <x:c r="D46" s="37" t="str">
        <x:v>待实测</x:v>
      </x:c>
      <x:c r="E46" s="9" t="str">
        <x:v>例：备课2小时＋授课2小时。</x:v>
      </x:c>
      <x:c r="F46" s="12" t="str"/>
    </x:row>
    <x:row r="47" ht="50" customHeight="1">
      <x:c r="A47" s="9" t="str">
        <x:v>每家日常支持与资料检查</x:v>
      </x:c>
      <x:c r="B47" s="44" t="n">
        <x:v>2</x:v>
      </x:c>
      <x:c r="C47" s="37" t="str">
        <x:v>小时/月</x:v>
      </x:c>
      <x:c r="D47" s="37" t="str">
        <x:v>预算假设</x:v>
      </x:c>
      <x:c r="E47" s="9" t="str">
        <x:v>固定服务预算边界；新增实施另计，不代表无限答疑。</x:v>
      </x:c>
      <x:c r="F47" s="12" t="str"/>
    </x:row>
    <x:row r="48" ht="50" customHeight="1">
      <x:c r="A48" s="9" t="str">
        <x:v>共享系统运维工时</x:v>
      </x:c>
      <x:c r="B48" s="44" t="n">
        <x:v>4</x:v>
      </x:c>
      <x:c r="C48" s="37" t="str">
        <x:v>小时/平台/月</x:v>
      </x:c>
      <x:c r="D48" s="37" t="str">
        <x:v>预算假设</x:v>
      </x:c>
      <x:c r="E48" s="9" t="str">
        <x:v>更新、备份检查与运行检查；不含功能研发。随系统规模调整。</x:v>
      </x:c>
      <x:c r="F48" s="12" t="str"/>
    </x:row>
    <x:row r="49" ht="50" customHeight="1">
      <x:c r="A49" s="9" t="str">
        <x:v>上线后测算月份</x:v>
      </x:c>
      <x:c r="B49" s="44" t="n">
        <x:v>12</x:v>
      </x:c>
      <x:c r="C49" s="37" t="str">
        <x:v>月</x:v>
      </x:c>
      <x:c r="D49" s="37" t="str">
        <x:v>范围假设</x:v>
      </x:c>
      <x:c r="E49" s="9" t="str">
        <x:v>总额＝首期实施＋上线后12个月；不声称是签约日起第一个日历年。</x:v>
      </x:c>
      <x:c r="F49" s="12" t="str"/>
    </x:row>
  </x:sheetData>
  <x:dataValidations count="11">
    <x:dataValidation type="whole" operator="between" sqref="B7">
      <x:formula1>1</x:formula1>
      <x:formula2>10000</x:formula2>
    </x:dataValidation>
    <x:dataValidation type="whole" operator="between" sqref="B6">
      <x:formula1>1</x:formula1>
      <x:formula2>10000</x:formula2>
    </x:dataValidation>
    <x:dataValidation type="whole" operator="between" sqref="B9">
      <x:formula1>1</x:formula1>
      <x:formula2>10000</x:formula2>
    </x:dataValidation>
    <x:dataValidation type="whole" operator="between" sqref="B10">
      <x:formula1>1</x:formula1>
      <x:formula2>10000</x:formula2>
    </x:dataValidation>
    <x:dataValidation type="whole" operator="between" sqref="B20">
      <x:formula1>1</x:formula1>
      <x:formula2>10000</x:formula2>
    </x:dataValidation>
    <x:dataValidation type="whole" operator="between" sqref="B45">
      <x:formula1>1</x:formula1>
      <x:formula2>10000</x:formula2>
    </x:dataValidation>
    <x:dataValidation type="whole" operator="between" sqref="B49">
      <x:formula1>1</x:formula1>
      <x:formula2>10000</x:formula2>
    </x:dataValidation>
    <x:dataValidation type="decimal" operator="between" sqref="B11">
      <x:formula1>0.01</x:formula1>
      <x:formula2>1</x:formula2>
    </x:dataValidation>
    <x:dataValidation type="decimal" operator="between" sqref="B24">
      <x:formula1>0</x:formula1>
      <x:formula2>1</x:formula2>
    </x:dataValidation>
    <x:dataValidation type="decimal" operator="between" sqref="B25">
      <x:formula1>0</x:formula1>
      <x:formula2>1</x:formula2>
    </x:dataValidation>
    <x:dataValidation type="decimal" operator="between" sqref="B18">
      <x:formula1>0</x:formula1>
      <x:formula2>1</x:formula2>
    </x:dataValidation>
  </x:dataValidations>
  <x:pageMargins left="0.7" right="0.7" top="0.75" bottom="0.75" header="0.3" footer="0.3"/>
</x:worksheet>
</file>